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DALEV\PROGRAM KPI\"/>
    </mc:Choice>
  </mc:AlternateContent>
  <xr:revisionPtr revIDLastSave="0" documentId="13_ncr:1_{20875814-C2E6-4F7A-9FEE-183E91F268DA}" xr6:coauthVersionLast="47" xr6:coauthVersionMax="47" xr10:uidLastSave="{00000000-0000-0000-0000-000000000000}"/>
  <bookViews>
    <workbookView xWindow="-98" yWindow="-98" windowWidth="21795" windowHeight="12975" activeTab="2" xr2:uid="{BF40ACD7-7893-4EEB-90C6-C2265082253A}"/>
  </bookViews>
  <sheets>
    <sheet name="kpi-kepala-cabang-samsat" sheetId="2" r:id="rId1"/>
    <sheet name="Sheet1" sheetId="1" r:id="rId2"/>
    <sheet name="Sheet2" sheetId="3" r:id="rId3"/>
  </sheets>
  <definedNames>
    <definedName name="ExternalData_1" localSheetId="0" hidden="1">'kpi-kepala-cabang-samsat'!$A$1:$E$27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16" i="1"/>
  <c r="C17" i="1"/>
  <c r="C18" i="1"/>
  <c r="C15" i="1"/>
  <c r="C29" i="1" s="1"/>
  <c r="B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E497C7-107B-4F50-878F-54A528AA5AE4}" keepAlive="1" name="Query - kpi-kepala-cabang-samsat" description="Connection to the 'kpi-kepala-cabang-samsat' query in the workbook." type="5" refreshedVersion="8" background="1" saveData="1">
    <dbPr connection="Provider=Microsoft.Mashup.OleDb.1;Data Source=$Workbook$;Location=kpi-kepala-cabang-samsat;Extended Properties=&quot;&quot;" command="SELECT * FROM [kpi-kepala-cabang-samsat]"/>
  </connection>
</connections>
</file>

<file path=xl/sharedStrings.xml><?xml version="1.0" encoding="utf-8"?>
<sst xmlns="http://schemas.openxmlformats.org/spreadsheetml/2006/main" count="316" uniqueCount="145">
  <si>
    <t>Area</t>
  </si>
  <si>
    <t>Bobot Area</t>
  </si>
  <si>
    <t>KPI</t>
  </si>
  <si>
    <t>Rumus / Cara Ukur</t>
  </si>
  <si>
    <t>Sumber Data</t>
  </si>
  <si>
    <t>A. Pendapatan</t>
  </si>
  <si>
    <t>Sistem Samsat / e-Samsat</t>
  </si>
  <si>
    <t>(Tahun ini − tahun lalu) ÷ tahun lalu</t>
  </si>
  <si>
    <t>B. Kepatuhan WP</t>
  </si>
  <si>
    <t>Database ranmor</t>
  </si>
  <si>
    <t>Penurunan KTMDU (kendaraan tidak melakukan daftar ulang)</t>
  </si>
  <si>
    <t>Jumlah KTMDU awal vs akhir periode</t>
  </si>
  <si>
    <t>C. Pelayanan</t>
  </si>
  <si>
    <t>Indeks Kepuasan Masyarakat (IKM)</t>
  </si>
  <si>
    <t>Survei sesuai PermenPANRB 14/2017, target ≥ 82 (kategori Baik)</t>
  </si>
  <si>
    <t>Survei semesteran</t>
  </si>
  <si>
    <t>Adopsi kanal digital</t>
  </si>
  <si>
    <t>Sistem</t>
  </si>
  <si>
    <t>Penyelesaian pengaduan</t>
  </si>
  <si>
    <t>D. Tata kelola</t>
  </si>
  <si>
    <t>LHP</t>
  </si>
  <si>
    <t>E. SDM dan koordinasi</t>
  </si>
  <si>
    <t>Capaian SKP pegawai</t>
  </si>
  <si>
    <t>Inovasi</t>
  </si>
  <si>
    <t>Jumlah inovasi layanan yang diterapkan</t>
  </si>
  <si>
    <t>Laporan inovasi</t>
  </si>
  <si>
    <t>Realisasi Cost Sharing</t>
  </si>
  <si>
    <t>Ketepatan penganggaran Cost Sharing sesuai SE</t>
  </si>
  <si>
    <t>Realisasi belanja Cost Sharing</t>
  </si>
  <si>
    <t>Realisasi cost sharing Kab/kota</t>
  </si>
  <si>
    <t>Catatan</t>
  </si>
  <si>
    <t>2 kali, Murni dan Perubahan</t>
  </si>
  <si>
    <t>Pertumbuhan PKB</t>
  </si>
  <si>
    <t>Pertumbuhan PAP</t>
  </si>
  <si>
    <t xml:space="preserve"> Pertumbuhan BBNKB</t>
  </si>
  <si>
    <t>Pertumbuhan PAB</t>
  </si>
  <si>
    <t>Rasio kepatuhan Daftar Ulang</t>
  </si>
  <si>
    <t>Berdasarkan Potensi</t>
  </si>
  <si>
    <t>Efektifitas Penelusuran (intensifikasi)</t>
  </si>
  <si>
    <t xml:space="preserve">Realisasi jumlah KBM membayar : KBM yang telah ditelusuri </t>
  </si>
  <si>
    <t>Data Panah Pasopati</t>
  </si>
  <si>
    <t xml:space="preserve">Data Atospamor </t>
  </si>
  <si>
    <t xml:space="preserve">Realisasi Pelaksanaan Opsgab </t>
  </si>
  <si>
    <t>Realisasi Pelaksanaan Opsus</t>
  </si>
  <si>
    <t>Realisasi KBM dalam kegiatan Opsgab</t>
  </si>
  <si>
    <t>Realisasi PKB, PAP dan PAB dalam kegiatan Opsus</t>
  </si>
  <si>
    <t>Bidang PP</t>
  </si>
  <si>
    <t>B. Kepatuhan WP ASN</t>
  </si>
  <si>
    <t>Realisasi kepatuhan pajak WP ASN</t>
  </si>
  <si>
    <t>Persentase kepatuhan : Potensi KBM WP ASN</t>
  </si>
  <si>
    <t>Zonita Pamor</t>
  </si>
  <si>
    <t>Penurunan KBMDU (kendaraan belum melakukan daftar ulang)</t>
  </si>
  <si>
    <t>Jumlah KBMDU awal vs akhir periode</t>
  </si>
  <si>
    <t>Waktu layanan daftar ulang</t>
  </si>
  <si>
    <t>Rata-rata durasi pelayanan pendaftaran s.d. pembayaran (waktu daftar s.d. waktu bayar)</t>
  </si>
  <si>
    <t>PSIP</t>
  </si>
  <si>
    <t>Transaksi online (Signal, Sambara) ÷ total transaksi</t>
  </si>
  <si>
    <t>Drupadi</t>
  </si>
  <si>
    <t>Pengaduan selesai ÷ total pengaduan</t>
  </si>
  <si>
    <t>Review masyarakat</t>
  </si>
  <si>
    <t>Rating layanan</t>
  </si>
  <si>
    <t>Google Review</t>
  </si>
  <si>
    <t>Ketepatan Penganggaran Belanja</t>
  </si>
  <si>
    <t>Realisasi Belanja : Anggaran Kas</t>
  </si>
  <si>
    <t>LPJ Keuangan</t>
  </si>
  <si>
    <t>Temuan audit internal</t>
  </si>
  <si>
    <t>Temuan audit eksternal</t>
  </si>
  <si>
    <t>Jumlah temuan Dalev + % yang sudah ditindaklanjuti</t>
  </si>
  <si>
    <t>Jumlah temuan BPK, BPKP, Itjen dan Inspektorat + % yang sudah ditindaklanjuti</t>
  </si>
  <si>
    <t>Penganggaran Cost Sharing</t>
  </si>
  <si>
    <t>Rata-rata nilai SKP Seluruh pegawai P3D</t>
  </si>
  <si>
    <t>Kepegawaian</t>
  </si>
  <si>
    <t>Koordinasi dengan instansi (TPS+BJB, Pemkab/kot)</t>
  </si>
  <si>
    <t>Belum menemukan parameter pengukuran</t>
  </si>
  <si>
    <t>Ranmor yang bayar daftar ulang tepat waktu ÷ ranmor terdaftar (potensi)</t>
  </si>
  <si>
    <t xml:space="preserve">Lama Masa Kerja </t>
  </si>
  <si>
    <t>Lama Masa Kerja Kepala P3DW</t>
  </si>
  <si>
    <t>Bobot Inti</t>
  </si>
  <si>
    <t>Bobot 
Komponen</t>
  </si>
  <si>
    <t>Penyelesaian Temuan audit eksternal</t>
  </si>
  <si>
    <t>Penyelesaian Temuan audit internal</t>
  </si>
  <si>
    <t>Capaian Realisasi PKB</t>
  </si>
  <si>
    <t>Capaian Realisasi BBNKB</t>
  </si>
  <si>
    <t>Capaian Realisasi PAP</t>
  </si>
  <si>
    <t>Capaian Realisasi PAB</t>
  </si>
  <si>
    <t>Area / KPI</t>
  </si>
  <si>
    <t>Bobot rancangan</t>
  </si>
  <si>
    <t>Bobot usulan</t>
  </si>
  <si>
    <t>PKB (capaian target + pertumbuhan relatif)</t>
  </si>
  <si>
    <t>Ukuran diganti, bukan hanya YoY</t>
  </si>
  <si>
    <t>Rasio kepatuhan daftar ulang</t>
  </si>
  <si>
    <t>Realisasi Opsgab + Opsus terhadap target</t>
  </si>
  <si>
    <t>Kepatuhan pajak WP ASN</t>
  </si>
  <si>
    <t>IKM</t>
  </si>
  <si>
    <t>Nilai semester terakhir</t>
  </si>
  <si>
    <t>Penyelesaian pengaduan tepat waktu</t>
  </si>
  <si>
    <t>D. Tata Kelola</t>
  </si>
  <si>
    <t>Ketepatan penganggaran belanja (deviasi)</t>
  </si>
  <si>
    <t>TL temuan internal tepat waktu</t>
  </si>
  <si>
    <t>TL temuan eksternal tepat waktu</t>
  </si>
  <si>
    <t>E. SDM dan Koordinasi</t>
  </si>
  <si>
    <t>Cost sharing (penganggaran + realisasi)</t>
  </si>
  <si>
    <t>Inovasi (rubrik kualitas)</t>
  </si>
  <si>
    <t>Koordinasi (rubrik BARS)</t>
  </si>
  <si>
    <t>Total</t>
  </si>
  <si>
    <t>- Capaian Realisasi PKB</t>
  </si>
  <si>
    <t>- Pertumbuhan PKB YoY</t>
  </si>
  <si>
    <t>Realisasi terhadap target tahun berjalan</t>
  </si>
  <si>
    <t>Realisasi th berjalan dikurangi realisasi tahun lalu di bagi realisasi tahun lalu</t>
  </si>
  <si>
    <t>PENILAIAN KPI P3D</t>
  </si>
  <si>
    <t>Rumus Penilaian</t>
  </si>
  <si>
    <t>Realisasi terhadap target tahun berjalan, Bila tidak ada potensi PAP, persentase diarahkan kemana?</t>
  </si>
  <si>
    <t>Efektivitas penelusuran (Atos Pamor dan Panah Pasopati)</t>
  </si>
  <si>
    <t>- Efektivitas penelusuran Atos Pamor</t>
  </si>
  <si>
    <t>- Efektivitas penelusuran Panah Pasopati</t>
  </si>
  <si>
    <t>Pengendalian KBMDU (%)</t>
  </si>
  <si>
    <t>Laju pertumbuhan KBMDU per bulan : Potensi Taat tahun sebelumnya</t>
  </si>
  <si>
    <t>Realisasi KBM yang terjaring saat opsgab dan opsus : Total KBMDU + KTMDU</t>
  </si>
  <si>
    <t>Zonita Pamor Kabupaten/Kota</t>
  </si>
  <si>
    <t>Review masyarakat (Drupadi)</t>
  </si>
  <si>
    <t xml:space="preserve">Kriteria waktu : 
-1x24 jam = 3
-2x24 jam = 2
diatas 2x24 jam = 1
Direlatifkan terhadap potensi P3DW
</t>
  </si>
  <si>
    <t>Jumlah transaksi digital : total transaksi
(Signal, Sambara, Kiosk, Salira, Sanggem, Samsat digital Lw. Panjang)</t>
  </si>
  <si>
    <t>Rentang waktu "jam daftar" s.d. "jam bayar"</t>
  </si>
  <si>
    <t>Jumlah review negatif : total review</t>
  </si>
  <si>
    <t>Memungkinkan Banding oleh Kapus</t>
  </si>
  <si>
    <t>Realisasi belanja : target anggaran kas (Skor berbasis deviasi)</t>
  </si>
  <si>
    <t>temuan yang sudah ditindaklanjuti : total temuan</t>
  </si>
  <si>
    <t>- Penganggaran</t>
  </si>
  <si>
    <t>- Realisasi</t>
  </si>
  <si>
    <t xml:space="preserve"> </t>
  </si>
  <si>
    <t xml:space="preserve">kesesuaian anggaran cost sharing dengan SE Gubernur
</t>
  </si>
  <si>
    <t>Realisasi Cost sharing kabupaten/kota : anggaran cost sharing</t>
  </si>
  <si>
    <t>EOTM</t>
  </si>
  <si>
    <t>Jumlah Kegiatan</t>
  </si>
  <si>
    <t>SKP</t>
  </si>
  <si>
    <t>Dasar Penilaian</t>
  </si>
  <si>
    <t>IKU Kaban</t>
  </si>
  <si>
    <t xml:space="preserve">Kepgub Intensifikasi </t>
  </si>
  <si>
    <t>SOP/Standar Layanan</t>
  </si>
  <si>
    <t>Permendagri</t>
  </si>
  <si>
    <t>SPIP</t>
  </si>
  <si>
    <t>SE Gubernur</t>
  </si>
  <si>
    <t>Merit sistem</t>
  </si>
  <si>
    <t>TPS</t>
  </si>
  <si>
    <t>Pengampu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</si>
</sst>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0" fillId="3" borderId="2" xfId="0" applyFill="1" applyBorder="1"/>
    <xf numFmtId="0" fontId="2" fillId="2" borderId="0" xfId="0" applyFont="1" applyFill="1"/>
    <xf numFmtId="2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quotePrefix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E4E869-F058-47B3-B212-1C3942B54A79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Area" tableColumnId="1"/>
      <queryTableField id="2" name="Bobot Area" tableColumnId="2"/>
      <queryTableField id="3" name="KPI" tableColumnId="3"/>
      <queryTableField id="4" name="Rumus / Cara Ukur" tableColumnId="4"/>
      <queryTableField id="5" name="Sumber Data" tableColumnId="5"/>
      <queryTableField id="7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AE4EC-653C-47DA-B790-4C713B0D05B6}" name="kpi_kepala_cabang_samsat" displayName="kpi_kepala_cabang_samsat" ref="A1:F27" tableType="queryTable" totalsRowShown="0">
  <autoFilter ref="A1:F27" xr:uid="{EBFAE4EC-653C-47DA-B790-4C713B0D05B6}"/>
  <tableColumns count="6">
    <tableColumn id="1" xr3:uid="{13070D3C-71D8-4677-890C-E0CEA9A91BC2}" uniqueName="1" name="Area" queryTableFieldId="1" dataDxfId="4"/>
    <tableColumn id="2" xr3:uid="{D14A0E78-02E7-4FD5-824C-3B4D2292C4BC}" uniqueName="2" name="Bobot Area" queryTableFieldId="2"/>
    <tableColumn id="3" xr3:uid="{DA8A4E68-1CBB-40C7-AE45-D0B82D9C2617}" uniqueName="3" name="KPI" queryTableFieldId="3" dataDxfId="3"/>
    <tableColumn id="4" xr3:uid="{1B4E1FF1-E541-4873-996C-81DEEE8240DA}" uniqueName="4" name="Rumus / Cara Ukur" queryTableFieldId="4" dataDxfId="2"/>
    <tableColumn id="5" xr3:uid="{363E1D5F-6485-41DC-A382-F63A53BB20A8}" uniqueName="5" name="Sumber Data" queryTableFieldId="5" dataDxfId="1"/>
    <tableColumn id="8" xr3:uid="{3089C51C-6592-4C7E-8142-3698FF040C3F}" uniqueName="8" name="Catata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E8D7-D79E-425E-868C-B40A320727B3}">
  <dimension ref="A1:F27"/>
  <sheetViews>
    <sheetView zoomScale="145" zoomScaleNormal="145" workbookViewId="0">
      <selection activeCell="B1" sqref="B1"/>
    </sheetView>
  </sheetViews>
  <sheetFormatPr defaultRowHeight="14.25" x14ac:dyDescent="0.45"/>
  <cols>
    <col min="1" max="1" width="18.46484375" bestFit="1" customWidth="1"/>
    <col min="2" max="2" width="12.1328125" bestFit="1" customWidth="1"/>
    <col min="3" max="3" width="49.86328125" bestFit="1" customWidth="1"/>
    <col min="4" max="4" width="73.46484375" bestFit="1" customWidth="1"/>
    <col min="5" max="5" width="30.59765625" bestFit="1" customWidth="1"/>
    <col min="6" max="6" width="58.66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</row>
    <row r="2" spans="1:6" x14ac:dyDescent="0.45">
      <c r="A2" t="s">
        <v>5</v>
      </c>
      <c r="B2">
        <v>0.4</v>
      </c>
      <c r="C2" t="s">
        <v>32</v>
      </c>
      <c r="D2" t="s">
        <v>7</v>
      </c>
      <c r="E2" t="s">
        <v>6</v>
      </c>
    </row>
    <row r="3" spans="1:6" x14ac:dyDescent="0.45">
      <c r="A3" t="s">
        <v>5</v>
      </c>
      <c r="B3">
        <v>0.4</v>
      </c>
      <c r="C3" t="s">
        <v>34</v>
      </c>
      <c r="D3" t="s">
        <v>7</v>
      </c>
      <c r="E3" t="s">
        <v>6</v>
      </c>
    </row>
    <row r="4" spans="1:6" x14ac:dyDescent="0.45">
      <c r="A4" t="s">
        <v>5</v>
      </c>
      <c r="B4">
        <v>0.4</v>
      </c>
      <c r="C4" t="s">
        <v>33</v>
      </c>
      <c r="D4" t="s">
        <v>7</v>
      </c>
      <c r="E4" t="s">
        <v>6</v>
      </c>
    </row>
    <row r="5" spans="1:6" x14ac:dyDescent="0.45">
      <c r="A5" t="s">
        <v>5</v>
      </c>
      <c r="B5">
        <v>0.4</v>
      </c>
      <c r="C5" t="s">
        <v>35</v>
      </c>
      <c r="D5" t="s">
        <v>7</v>
      </c>
      <c r="E5" t="s">
        <v>6</v>
      </c>
    </row>
    <row r="6" spans="1:6" x14ac:dyDescent="0.45">
      <c r="A6" t="s">
        <v>8</v>
      </c>
      <c r="B6">
        <v>0.2</v>
      </c>
      <c r="C6" t="s">
        <v>36</v>
      </c>
      <c r="D6" t="s">
        <v>74</v>
      </c>
      <c r="E6" t="s">
        <v>9</v>
      </c>
      <c r="F6" t="s">
        <v>37</v>
      </c>
    </row>
    <row r="7" spans="1:6" x14ac:dyDescent="0.45">
      <c r="A7" t="s">
        <v>8</v>
      </c>
      <c r="B7">
        <v>0.2</v>
      </c>
      <c r="C7" t="s">
        <v>38</v>
      </c>
      <c r="D7" t="s">
        <v>39</v>
      </c>
      <c r="E7" t="s">
        <v>41</v>
      </c>
    </row>
    <row r="8" spans="1:6" x14ac:dyDescent="0.45">
      <c r="A8" t="s">
        <v>8</v>
      </c>
      <c r="B8">
        <v>0.2</v>
      </c>
      <c r="C8" t="s">
        <v>38</v>
      </c>
      <c r="D8" t="s">
        <v>39</v>
      </c>
      <c r="E8" t="s">
        <v>40</v>
      </c>
    </row>
    <row r="9" spans="1:6" x14ac:dyDescent="0.45">
      <c r="A9" t="s">
        <v>8</v>
      </c>
      <c r="B9">
        <v>0.2</v>
      </c>
      <c r="C9" t="s">
        <v>42</v>
      </c>
      <c r="D9" t="s">
        <v>44</v>
      </c>
      <c r="E9" t="s">
        <v>46</v>
      </c>
    </row>
    <row r="10" spans="1:6" x14ac:dyDescent="0.45">
      <c r="A10" t="s">
        <v>8</v>
      </c>
      <c r="B10">
        <v>0.2</v>
      </c>
      <c r="C10" t="s">
        <v>43</v>
      </c>
      <c r="D10" t="s">
        <v>45</v>
      </c>
      <c r="E10" t="s">
        <v>46</v>
      </c>
    </row>
    <row r="11" spans="1:6" x14ac:dyDescent="0.45">
      <c r="A11" t="s">
        <v>47</v>
      </c>
      <c r="B11">
        <v>0.2</v>
      </c>
      <c r="C11" t="s">
        <v>48</v>
      </c>
      <c r="D11" t="s">
        <v>49</v>
      </c>
      <c r="E11" t="s">
        <v>50</v>
      </c>
    </row>
    <row r="12" spans="1:6" x14ac:dyDescent="0.45">
      <c r="A12" t="s">
        <v>8</v>
      </c>
      <c r="B12">
        <v>0.2</v>
      </c>
      <c r="C12" t="s">
        <v>51</v>
      </c>
      <c r="D12" t="s">
        <v>52</v>
      </c>
      <c r="E12" t="s">
        <v>9</v>
      </c>
    </row>
    <row r="13" spans="1:6" x14ac:dyDescent="0.45">
      <c r="A13" t="s">
        <v>8</v>
      </c>
      <c r="B13">
        <v>0.2</v>
      </c>
      <c r="C13" t="s">
        <v>10</v>
      </c>
      <c r="D13" t="s">
        <v>11</v>
      </c>
      <c r="E13" t="s">
        <v>9</v>
      </c>
    </row>
    <row r="14" spans="1:6" x14ac:dyDescent="0.45">
      <c r="A14" t="s">
        <v>12</v>
      </c>
      <c r="B14">
        <v>0.2</v>
      </c>
      <c r="C14" t="s">
        <v>13</v>
      </c>
      <c r="D14" t="s">
        <v>14</v>
      </c>
      <c r="E14" t="s">
        <v>15</v>
      </c>
    </row>
    <row r="15" spans="1:6" x14ac:dyDescent="0.45">
      <c r="A15" t="s">
        <v>12</v>
      </c>
      <c r="B15">
        <v>0.2</v>
      </c>
      <c r="C15" t="s">
        <v>53</v>
      </c>
      <c r="D15" t="s">
        <v>54</v>
      </c>
      <c r="E15" t="s">
        <v>55</v>
      </c>
    </row>
    <row r="16" spans="1:6" x14ac:dyDescent="0.45">
      <c r="A16" t="s">
        <v>12</v>
      </c>
      <c r="B16">
        <v>0.2</v>
      </c>
      <c r="C16" t="s">
        <v>16</v>
      </c>
      <c r="D16" t="s">
        <v>56</v>
      </c>
      <c r="E16" t="s">
        <v>17</v>
      </c>
    </row>
    <row r="17" spans="1:6" x14ac:dyDescent="0.45">
      <c r="A17" t="s">
        <v>12</v>
      </c>
      <c r="B17">
        <v>0.2</v>
      </c>
      <c r="C17" t="s">
        <v>18</v>
      </c>
      <c r="D17" t="s">
        <v>58</v>
      </c>
      <c r="E17" t="s">
        <v>57</v>
      </c>
    </row>
    <row r="18" spans="1:6" hidden="1" x14ac:dyDescent="0.45">
      <c r="A18" t="s">
        <v>12</v>
      </c>
      <c r="B18">
        <v>0.2</v>
      </c>
      <c r="C18" t="s">
        <v>59</v>
      </c>
      <c r="D18" t="s">
        <v>60</v>
      </c>
      <c r="E18" t="s">
        <v>61</v>
      </c>
    </row>
    <row r="19" spans="1:6" x14ac:dyDescent="0.45">
      <c r="A19" t="s">
        <v>19</v>
      </c>
      <c r="B19">
        <v>0.1</v>
      </c>
      <c r="C19" t="s">
        <v>62</v>
      </c>
      <c r="D19" t="s">
        <v>63</v>
      </c>
      <c r="E19" t="s">
        <v>64</v>
      </c>
    </row>
    <row r="20" spans="1:6" x14ac:dyDescent="0.45">
      <c r="A20" t="s">
        <v>19</v>
      </c>
      <c r="B20">
        <v>0.1</v>
      </c>
      <c r="C20" t="s">
        <v>65</v>
      </c>
      <c r="D20" t="s">
        <v>67</v>
      </c>
      <c r="E20" t="s">
        <v>20</v>
      </c>
    </row>
    <row r="21" spans="1:6" x14ac:dyDescent="0.45">
      <c r="A21" t="s">
        <v>19</v>
      </c>
      <c r="B21">
        <v>0.1</v>
      </c>
      <c r="C21" t="s">
        <v>66</v>
      </c>
      <c r="D21" t="s">
        <v>68</v>
      </c>
      <c r="E21" t="s">
        <v>20</v>
      </c>
    </row>
    <row r="22" spans="1:6" x14ac:dyDescent="0.45">
      <c r="A22" t="s">
        <v>21</v>
      </c>
      <c r="B22">
        <v>0.1</v>
      </c>
      <c r="C22" t="s">
        <v>22</v>
      </c>
      <c r="D22" t="s">
        <v>70</v>
      </c>
      <c r="E22" t="s">
        <v>71</v>
      </c>
    </row>
    <row r="23" spans="1:6" x14ac:dyDescent="0.45">
      <c r="A23" t="s">
        <v>21</v>
      </c>
      <c r="B23">
        <v>0.1</v>
      </c>
      <c r="C23" t="s">
        <v>69</v>
      </c>
      <c r="D23" t="s">
        <v>27</v>
      </c>
      <c r="F23" t="s">
        <v>31</v>
      </c>
    </row>
    <row r="24" spans="1:6" x14ac:dyDescent="0.45">
      <c r="A24" t="s">
        <v>21</v>
      </c>
      <c r="B24">
        <v>0.1</v>
      </c>
      <c r="C24" t="s">
        <v>26</v>
      </c>
      <c r="D24" t="s">
        <v>28</v>
      </c>
      <c r="E24" t="s">
        <v>29</v>
      </c>
    </row>
    <row r="25" spans="1:6" x14ac:dyDescent="0.45">
      <c r="A25" t="s">
        <v>21</v>
      </c>
      <c r="B25">
        <v>0.1</v>
      </c>
      <c r="C25" t="s">
        <v>75</v>
      </c>
      <c r="D25" t="s">
        <v>76</v>
      </c>
      <c r="E25" t="s">
        <v>71</v>
      </c>
    </row>
    <row r="26" spans="1:6" x14ac:dyDescent="0.45">
      <c r="A26" t="s">
        <v>21</v>
      </c>
      <c r="C26" t="s">
        <v>72</v>
      </c>
      <c r="F26" t="s">
        <v>73</v>
      </c>
    </row>
    <row r="27" spans="1:6" x14ac:dyDescent="0.45">
      <c r="A27" t="s">
        <v>21</v>
      </c>
      <c r="B27">
        <v>0.1</v>
      </c>
      <c r="C27" t="s">
        <v>23</v>
      </c>
      <c r="D27" t="s">
        <v>24</v>
      </c>
      <c r="E27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8F17-A158-4F4F-AA9D-BBB7E0B87371}">
  <dimension ref="A1:G29"/>
  <sheetViews>
    <sheetView zoomScale="81" zoomScaleNormal="81" workbookViewId="0">
      <selection activeCell="D27" sqref="D27"/>
    </sheetView>
  </sheetViews>
  <sheetFormatPr defaultRowHeight="14.25" x14ac:dyDescent="0.45"/>
  <cols>
    <col min="1" max="1" width="19.1328125" style="1" bestFit="1" customWidth="1"/>
    <col min="2" max="2" width="9.796875" style="1" bestFit="1" customWidth="1"/>
    <col min="3" max="3" width="16.265625" style="1" bestFit="1" customWidth="1"/>
    <col min="4" max="4" width="52.73046875" style="1" bestFit="1" customWidth="1"/>
    <col min="5" max="5" width="74.06640625" style="1" bestFit="1" customWidth="1"/>
    <col min="6" max="6" width="25.9296875" style="1" bestFit="1" customWidth="1"/>
    <col min="7" max="7" width="36.19921875" style="3" bestFit="1" customWidth="1"/>
  </cols>
  <sheetData>
    <row r="1" spans="1:7" s="8" customFormat="1" ht="31.5" x14ac:dyDescent="0.5">
      <c r="A1" s="10" t="s">
        <v>0</v>
      </c>
      <c r="B1" s="10" t="s">
        <v>77</v>
      </c>
      <c r="C1" s="11" t="s">
        <v>78</v>
      </c>
      <c r="D1" s="10" t="s">
        <v>2</v>
      </c>
      <c r="E1" s="10" t="s">
        <v>3</v>
      </c>
      <c r="F1" s="10" t="s">
        <v>4</v>
      </c>
      <c r="G1" s="12" t="s">
        <v>30</v>
      </c>
    </row>
    <row r="2" spans="1:7" x14ac:dyDescent="0.45">
      <c r="A2" s="1" t="s">
        <v>5</v>
      </c>
      <c r="B2" s="13">
        <v>40</v>
      </c>
      <c r="C2" s="2">
        <v>20</v>
      </c>
      <c r="D2" s="1" t="s">
        <v>32</v>
      </c>
      <c r="E2" s="1" t="s">
        <v>7</v>
      </c>
      <c r="F2" s="1" t="s">
        <v>6</v>
      </c>
      <c r="G2" s="1"/>
    </row>
    <row r="3" spans="1:7" x14ac:dyDescent="0.45">
      <c r="A3" s="1" t="s">
        <v>5</v>
      </c>
      <c r="B3" s="13"/>
      <c r="C3" s="2"/>
      <c r="D3" s="1" t="s">
        <v>81</v>
      </c>
      <c r="E3" s="1" t="s">
        <v>7</v>
      </c>
      <c r="F3" s="1" t="s">
        <v>6</v>
      </c>
      <c r="G3" s="1"/>
    </row>
    <row r="4" spans="1:7" x14ac:dyDescent="0.45">
      <c r="A4" s="1" t="s">
        <v>5</v>
      </c>
      <c r="B4" s="13"/>
      <c r="C4" s="2">
        <v>10</v>
      </c>
      <c r="D4" s="1" t="s">
        <v>82</v>
      </c>
      <c r="E4" s="1" t="s">
        <v>7</v>
      </c>
      <c r="F4" s="1" t="s">
        <v>6</v>
      </c>
      <c r="G4" s="1"/>
    </row>
    <row r="5" spans="1:7" x14ac:dyDescent="0.45">
      <c r="A5" s="1" t="s">
        <v>5</v>
      </c>
      <c r="B5" s="13"/>
      <c r="C5" s="2">
        <v>5</v>
      </c>
      <c r="D5" s="1" t="s">
        <v>83</v>
      </c>
      <c r="E5" s="1" t="s">
        <v>7</v>
      </c>
      <c r="F5" s="1" t="s">
        <v>6</v>
      </c>
      <c r="G5" s="1"/>
    </row>
    <row r="6" spans="1:7" x14ac:dyDescent="0.45">
      <c r="A6" s="1" t="s">
        <v>5</v>
      </c>
      <c r="B6" s="13"/>
      <c r="C6" s="2">
        <v>5</v>
      </c>
      <c r="D6" s="1" t="s">
        <v>84</v>
      </c>
      <c r="E6" s="1" t="s">
        <v>7</v>
      </c>
      <c r="F6" s="1" t="s">
        <v>6</v>
      </c>
      <c r="G6" s="1"/>
    </row>
    <row r="7" spans="1:7" x14ac:dyDescent="0.45">
      <c r="A7" s="1" t="s">
        <v>8</v>
      </c>
      <c r="B7" s="14">
        <v>20</v>
      </c>
      <c r="C7" s="2">
        <v>4</v>
      </c>
      <c r="D7" s="1" t="s">
        <v>36</v>
      </c>
      <c r="E7" s="1" t="s">
        <v>74</v>
      </c>
      <c r="F7" s="1" t="s">
        <v>9</v>
      </c>
      <c r="G7" s="1" t="s">
        <v>37</v>
      </c>
    </row>
    <row r="8" spans="1:7" x14ac:dyDescent="0.45">
      <c r="A8" s="1" t="s">
        <v>8</v>
      </c>
      <c r="B8" s="14"/>
      <c r="C8" s="2">
        <v>2.5</v>
      </c>
      <c r="D8" s="1" t="s">
        <v>38</v>
      </c>
      <c r="E8" s="1" t="s">
        <v>39</v>
      </c>
      <c r="F8" s="1" t="s">
        <v>41</v>
      </c>
      <c r="G8" s="1"/>
    </row>
    <row r="9" spans="1:7" x14ac:dyDescent="0.45">
      <c r="A9" s="1" t="s">
        <v>8</v>
      </c>
      <c r="B9" s="14"/>
      <c r="C9" s="2">
        <v>2.5</v>
      </c>
      <c r="D9" s="1" t="s">
        <v>38</v>
      </c>
      <c r="E9" s="1" t="s">
        <v>39</v>
      </c>
      <c r="F9" s="1" t="s">
        <v>40</v>
      </c>
      <c r="G9" s="1"/>
    </row>
    <row r="10" spans="1:7" x14ac:dyDescent="0.45">
      <c r="A10" s="1" t="s">
        <v>8</v>
      </c>
      <c r="B10" s="14"/>
      <c r="C10" s="2">
        <v>2</v>
      </c>
      <c r="D10" s="1" t="s">
        <v>42</v>
      </c>
      <c r="E10" s="1" t="s">
        <v>44</v>
      </c>
      <c r="F10" s="1" t="s">
        <v>46</v>
      </c>
      <c r="G10" s="1"/>
    </row>
    <row r="11" spans="1:7" x14ac:dyDescent="0.45">
      <c r="A11" s="1" t="s">
        <v>8</v>
      </c>
      <c r="B11" s="14"/>
      <c r="C11" s="2">
        <v>2</v>
      </c>
      <c r="D11" s="1" t="s">
        <v>43</v>
      </c>
      <c r="E11" s="1" t="s">
        <v>45</v>
      </c>
      <c r="F11" s="1" t="s">
        <v>46</v>
      </c>
      <c r="G11" s="1"/>
    </row>
    <row r="12" spans="1:7" x14ac:dyDescent="0.45">
      <c r="A12" s="1" t="s">
        <v>47</v>
      </c>
      <c r="B12" s="14"/>
      <c r="C12" s="2">
        <v>1</v>
      </c>
      <c r="D12" s="1" t="s">
        <v>48</v>
      </c>
      <c r="E12" s="1" t="s">
        <v>49</v>
      </c>
      <c r="F12" s="1" t="s">
        <v>50</v>
      </c>
      <c r="G12" s="1"/>
    </row>
    <row r="13" spans="1:7" x14ac:dyDescent="0.45">
      <c r="A13" s="1" t="s">
        <v>8</v>
      </c>
      <c r="B13" s="14"/>
      <c r="C13" s="2">
        <v>3</v>
      </c>
      <c r="D13" s="1" t="s">
        <v>51</v>
      </c>
      <c r="E13" s="1" t="s">
        <v>52</v>
      </c>
      <c r="F13" s="1" t="s">
        <v>9</v>
      </c>
      <c r="G13" s="1"/>
    </row>
    <row r="14" spans="1:7" x14ac:dyDescent="0.45">
      <c r="A14" s="1" t="s">
        <v>8</v>
      </c>
      <c r="B14" s="14"/>
      <c r="C14" s="2">
        <v>3</v>
      </c>
      <c r="D14" s="1" t="s">
        <v>10</v>
      </c>
      <c r="E14" s="1" t="s">
        <v>11</v>
      </c>
      <c r="F14" s="1" t="s">
        <v>9</v>
      </c>
      <c r="G14" s="1"/>
    </row>
    <row r="15" spans="1:7" x14ac:dyDescent="0.45">
      <c r="A15" s="1" t="s">
        <v>12</v>
      </c>
      <c r="B15" s="14">
        <v>15</v>
      </c>
      <c r="C15" s="2">
        <f>$B$15/5</f>
        <v>3</v>
      </c>
      <c r="D15" s="1" t="s">
        <v>13</v>
      </c>
      <c r="E15" s="1" t="s">
        <v>14</v>
      </c>
      <c r="F15" s="1" t="s">
        <v>15</v>
      </c>
      <c r="G15" s="1"/>
    </row>
    <row r="16" spans="1:7" x14ac:dyDescent="0.45">
      <c r="A16" s="1" t="s">
        <v>12</v>
      </c>
      <c r="B16" s="14"/>
      <c r="C16" s="2">
        <f t="shared" ref="C16:C19" si="0">$B$15/5</f>
        <v>3</v>
      </c>
      <c r="D16" s="1" t="s">
        <v>53</v>
      </c>
      <c r="E16" s="1" t="s">
        <v>54</v>
      </c>
      <c r="F16" s="1" t="s">
        <v>55</v>
      </c>
      <c r="G16" s="1"/>
    </row>
    <row r="17" spans="1:7" x14ac:dyDescent="0.45">
      <c r="A17" s="1" t="s">
        <v>12</v>
      </c>
      <c r="B17" s="14"/>
      <c r="C17" s="2">
        <f t="shared" si="0"/>
        <v>3</v>
      </c>
      <c r="D17" s="1" t="s">
        <v>16</v>
      </c>
      <c r="E17" s="1" t="s">
        <v>56</v>
      </c>
      <c r="F17" s="1" t="s">
        <v>17</v>
      </c>
      <c r="G17" s="1"/>
    </row>
    <row r="18" spans="1:7" x14ac:dyDescent="0.45">
      <c r="A18" s="1" t="s">
        <v>12</v>
      </c>
      <c r="B18" s="14"/>
      <c r="C18" s="2">
        <f t="shared" si="0"/>
        <v>3</v>
      </c>
      <c r="D18" s="1" t="s">
        <v>18</v>
      </c>
      <c r="E18" s="1" t="s">
        <v>58</v>
      </c>
      <c r="F18" s="1" t="s">
        <v>57</v>
      </c>
      <c r="G18" s="1"/>
    </row>
    <row r="19" spans="1:7" x14ac:dyDescent="0.45">
      <c r="A19" s="1" t="s">
        <v>12</v>
      </c>
      <c r="B19" s="14"/>
      <c r="C19" s="2">
        <f t="shared" si="0"/>
        <v>3</v>
      </c>
      <c r="D19" s="1" t="s">
        <v>59</v>
      </c>
      <c r="E19" s="1" t="s">
        <v>60</v>
      </c>
      <c r="F19" s="1" t="s">
        <v>61</v>
      </c>
      <c r="G19" s="1"/>
    </row>
    <row r="20" spans="1:7" x14ac:dyDescent="0.45">
      <c r="A20" s="1" t="s">
        <v>19</v>
      </c>
      <c r="B20" s="14">
        <v>10</v>
      </c>
      <c r="C20" s="2">
        <v>3</v>
      </c>
      <c r="D20" s="1" t="s">
        <v>62</v>
      </c>
      <c r="E20" s="1" t="s">
        <v>63</v>
      </c>
      <c r="F20" s="1" t="s">
        <v>64</v>
      </c>
      <c r="G20" s="1"/>
    </row>
    <row r="21" spans="1:7" x14ac:dyDescent="0.45">
      <c r="A21" s="1" t="s">
        <v>19</v>
      </c>
      <c r="B21" s="14"/>
      <c r="C21" s="2">
        <v>3</v>
      </c>
      <c r="D21" s="1" t="s">
        <v>80</v>
      </c>
      <c r="E21" s="1" t="s">
        <v>67</v>
      </c>
      <c r="F21" s="1" t="s">
        <v>20</v>
      </c>
      <c r="G21" s="1"/>
    </row>
    <row r="22" spans="1:7" x14ac:dyDescent="0.45">
      <c r="A22" s="1" t="s">
        <v>19</v>
      </c>
      <c r="B22" s="14"/>
      <c r="C22" s="2">
        <v>4</v>
      </c>
      <c r="D22" s="1" t="s">
        <v>79</v>
      </c>
      <c r="E22" s="1" t="s">
        <v>68</v>
      </c>
      <c r="F22" s="1" t="s">
        <v>20</v>
      </c>
      <c r="G22" s="1"/>
    </row>
    <row r="23" spans="1:7" x14ac:dyDescent="0.45">
      <c r="A23" s="1" t="s">
        <v>21</v>
      </c>
      <c r="B23" s="14">
        <v>15</v>
      </c>
      <c r="C23" s="9">
        <v>2</v>
      </c>
      <c r="D23" s="1" t="s">
        <v>22</v>
      </c>
      <c r="E23" s="1" t="s">
        <v>70</v>
      </c>
      <c r="F23" s="1" t="s">
        <v>71</v>
      </c>
      <c r="G23" s="1"/>
    </row>
    <row r="24" spans="1:7" x14ac:dyDescent="0.45">
      <c r="A24" s="1" t="s">
        <v>21</v>
      </c>
      <c r="B24" s="14"/>
      <c r="C24" s="9">
        <v>4</v>
      </c>
      <c r="D24" s="1" t="s">
        <v>69</v>
      </c>
      <c r="E24" s="1" t="s">
        <v>27</v>
      </c>
      <c r="G24" s="1" t="s">
        <v>31</v>
      </c>
    </row>
    <row r="25" spans="1:7" x14ac:dyDescent="0.45">
      <c r="A25" s="1" t="s">
        <v>21</v>
      </c>
      <c r="B25" s="14"/>
      <c r="C25" s="9">
        <v>4</v>
      </c>
      <c r="D25" s="1" t="s">
        <v>26</v>
      </c>
      <c r="E25" s="1" t="s">
        <v>28</v>
      </c>
      <c r="F25" s="1" t="s">
        <v>29</v>
      </c>
      <c r="G25" s="1"/>
    </row>
    <row r="26" spans="1:7" x14ac:dyDescent="0.45">
      <c r="A26" s="1" t="s">
        <v>21</v>
      </c>
      <c r="B26" s="14"/>
      <c r="C26" s="9">
        <v>1</v>
      </c>
      <c r="D26" s="1" t="s">
        <v>75</v>
      </c>
      <c r="E26" s="1" t="s">
        <v>76</v>
      </c>
      <c r="F26" s="1" t="s">
        <v>71</v>
      </c>
      <c r="G26" s="1"/>
    </row>
    <row r="27" spans="1:7" x14ac:dyDescent="0.45">
      <c r="A27" s="1" t="s">
        <v>21</v>
      </c>
      <c r="B27" s="14"/>
      <c r="C27" s="9">
        <v>1</v>
      </c>
      <c r="D27" s="1" t="s">
        <v>72</v>
      </c>
      <c r="G27" s="1" t="s">
        <v>73</v>
      </c>
    </row>
    <row r="28" spans="1:7" x14ac:dyDescent="0.45">
      <c r="A28" s="1" t="s">
        <v>21</v>
      </c>
      <c r="B28" s="14"/>
      <c r="C28" s="9">
        <v>3</v>
      </c>
      <c r="D28" s="1" t="s">
        <v>23</v>
      </c>
      <c r="E28" s="1" t="s">
        <v>24</v>
      </c>
      <c r="F28" s="1" t="s">
        <v>25</v>
      </c>
      <c r="G28" s="1"/>
    </row>
    <row r="29" spans="1:7" x14ac:dyDescent="0.45">
      <c r="A29" s="4"/>
      <c r="B29" s="5">
        <f>SUM(B2:B28)</f>
        <v>100</v>
      </c>
      <c r="C29" s="6">
        <f>SUM(C2:C28)</f>
        <v>100</v>
      </c>
      <c r="D29" s="4"/>
      <c r="E29" s="4"/>
      <c r="F29" s="4"/>
      <c r="G29" s="7"/>
    </row>
  </sheetData>
  <mergeCells count="5">
    <mergeCell ref="B2:B6"/>
    <mergeCell ref="B7:B14"/>
    <mergeCell ref="B15:B19"/>
    <mergeCell ref="B20:B22"/>
    <mergeCell ref="B23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048A-7A7B-43FC-8865-FE99F67EB65C}">
  <dimension ref="D3:L40"/>
  <sheetViews>
    <sheetView tabSelected="1" zoomScale="91" zoomScaleNormal="91" workbookViewId="0">
      <selection activeCell="D5" sqref="D5"/>
    </sheetView>
  </sheetViews>
  <sheetFormatPr defaultRowHeight="14.25" x14ac:dyDescent="0.45"/>
  <cols>
    <col min="4" max="4" width="27.6640625" bestFit="1" customWidth="1"/>
    <col min="5" max="5" width="17.46484375" customWidth="1"/>
    <col min="6" max="6" width="18.1328125" customWidth="1"/>
    <col min="7" max="7" width="33.73046875" customWidth="1"/>
    <col min="8" max="8" width="29.6640625" bestFit="1" customWidth="1"/>
    <col min="9" max="9" width="9.3984375" bestFit="1" customWidth="1"/>
  </cols>
  <sheetData>
    <row r="3" spans="4:9" ht="25.5" x14ac:dyDescent="0.75">
      <c r="D3" s="23" t="s">
        <v>109</v>
      </c>
      <c r="E3" s="23"/>
      <c r="F3" s="23"/>
      <c r="G3" s="23"/>
      <c r="H3" s="23"/>
      <c r="I3" s="23"/>
    </row>
    <row r="7" spans="4:9" x14ac:dyDescent="0.45">
      <c r="D7" s="19" t="s">
        <v>85</v>
      </c>
      <c r="E7" s="19" t="s">
        <v>86</v>
      </c>
      <c r="F7" s="19" t="s">
        <v>87</v>
      </c>
      <c r="G7" s="19" t="s">
        <v>110</v>
      </c>
      <c r="H7" s="19" t="s">
        <v>135</v>
      </c>
      <c r="I7" s="19" t="s">
        <v>144</v>
      </c>
    </row>
    <row r="8" spans="4:9" x14ac:dyDescent="0.45">
      <c r="D8" s="20" t="s">
        <v>5</v>
      </c>
      <c r="E8" s="20">
        <v>40</v>
      </c>
      <c r="F8" s="20">
        <v>35</v>
      </c>
      <c r="G8" s="15"/>
      <c r="H8" s="1"/>
      <c r="I8" s="4"/>
    </row>
    <row r="9" spans="4:9" ht="28.5" x14ac:dyDescent="0.45">
      <c r="D9" s="15" t="s">
        <v>88</v>
      </c>
      <c r="E9" s="15"/>
      <c r="F9" s="15"/>
      <c r="G9" s="15" t="s">
        <v>89</v>
      </c>
      <c r="H9" s="1" t="s">
        <v>136</v>
      </c>
      <c r="I9" s="4"/>
    </row>
    <row r="10" spans="4:9" x14ac:dyDescent="0.45">
      <c r="D10" s="16" t="s">
        <v>105</v>
      </c>
      <c r="E10" s="15">
        <v>10</v>
      </c>
      <c r="F10" s="15">
        <v>9</v>
      </c>
      <c r="G10" s="15" t="s">
        <v>107</v>
      </c>
      <c r="H10" s="1" t="s">
        <v>136</v>
      </c>
      <c r="I10" s="4"/>
    </row>
    <row r="11" spans="4:9" ht="28.5" x14ac:dyDescent="0.45">
      <c r="D11" s="16" t="s">
        <v>106</v>
      </c>
      <c r="E11" s="15">
        <v>10</v>
      </c>
      <c r="F11" s="15">
        <v>9</v>
      </c>
      <c r="G11" s="15" t="s">
        <v>108</v>
      </c>
      <c r="H11" s="1" t="s">
        <v>136</v>
      </c>
      <c r="I11" s="4"/>
    </row>
    <row r="12" spans="4:9" x14ac:dyDescent="0.45">
      <c r="D12" s="15" t="s">
        <v>82</v>
      </c>
      <c r="E12" s="15">
        <v>10</v>
      </c>
      <c r="F12" s="15">
        <v>7</v>
      </c>
      <c r="G12" s="15" t="s">
        <v>107</v>
      </c>
      <c r="H12" s="1" t="s">
        <v>136</v>
      </c>
      <c r="I12" s="4"/>
    </row>
    <row r="13" spans="4:9" ht="42.75" x14ac:dyDescent="0.45">
      <c r="D13" s="15" t="s">
        <v>83</v>
      </c>
      <c r="E13" s="15">
        <v>5</v>
      </c>
      <c r="F13" s="15">
        <v>5</v>
      </c>
      <c r="G13" s="21" t="s">
        <v>111</v>
      </c>
      <c r="H13" s="1" t="s">
        <v>136</v>
      </c>
      <c r="I13" s="4"/>
    </row>
    <row r="14" spans="4:9" x14ac:dyDescent="0.45">
      <c r="D14" s="15" t="s">
        <v>84</v>
      </c>
      <c r="E14" s="15">
        <v>5</v>
      </c>
      <c r="F14" s="15">
        <v>5</v>
      </c>
      <c r="G14" s="15" t="s">
        <v>107</v>
      </c>
      <c r="H14" s="1" t="s">
        <v>136</v>
      </c>
      <c r="I14" s="4"/>
    </row>
    <row r="15" spans="4:9" x14ac:dyDescent="0.45">
      <c r="D15" s="20" t="s">
        <v>8</v>
      </c>
      <c r="E15" s="20">
        <v>20</v>
      </c>
      <c r="F15" s="20">
        <v>20</v>
      </c>
      <c r="G15" s="15"/>
      <c r="H15" s="1"/>
      <c r="I15" s="4"/>
    </row>
    <row r="16" spans="4:9" ht="28.5" x14ac:dyDescent="0.45">
      <c r="D16" s="15" t="s">
        <v>90</v>
      </c>
      <c r="E16" s="15">
        <v>4</v>
      </c>
      <c r="F16" s="15">
        <v>5</v>
      </c>
      <c r="G16" s="15" t="s">
        <v>74</v>
      </c>
      <c r="H16" s="1" t="s">
        <v>137</v>
      </c>
      <c r="I16" s="4"/>
    </row>
    <row r="17" spans="4:12" ht="28.5" x14ac:dyDescent="0.45">
      <c r="D17" s="15" t="s">
        <v>112</v>
      </c>
      <c r="E17" s="15"/>
      <c r="F17" s="15"/>
      <c r="G17" s="15"/>
      <c r="H17" s="1" t="s">
        <v>137</v>
      </c>
      <c r="I17" s="4"/>
    </row>
    <row r="18" spans="4:12" ht="28.5" x14ac:dyDescent="0.45">
      <c r="D18" s="16" t="s">
        <v>113</v>
      </c>
      <c r="E18" s="15">
        <v>2</v>
      </c>
      <c r="F18" s="15">
        <v>2</v>
      </c>
      <c r="G18" s="15"/>
      <c r="H18" s="1" t="s">
        <v>137</v>
      </c>
      <c r="I18" s="4"/>
    </row>
    <row r="19" spans="4:12" ht="28.5" x14ac:dyDescent="0.45">
      <c r="D19" s="16" t="s">
        <v>114</v>
      </c>
      <c r="E19" s="15">
        <v>3</v>
      </c>
      <c r="F19" s="15">
        <v>3</v>
      </c>
      <c r="G19" s="15"/>
      <c r="H19" s="1" t="s">
        <v>137</v>
      </c>
      <c r="I19" s="4"/>
    </row>
    <row r="20" spans="4:12" ht="28.5" x14ac:dyDescent="0.45">
      <c r="D20" s="15" t="s">
        <v>115</v>
      </c>
      <c r="E20" s="15">
        <v>6</v>
      </c>
      <c r="F20" s="15">
        <v>6</v>
      </c>
      <c r="G20" s="15" t="s">
        <v>116</v>
      </c>
      <c r="H20" s="1" t="s">
        <v>137</v>
      </c>
      <c r="I20" s="4"/>
    </row>
    <row r="21" spans="4:12" ht="28.5" x14ac:dyDescent="0.45">
      <c r="D21" s="15" t="s">
        <v>91</v>
      </c>
      <c r="E21" s="15">
        <v>4</v>
      </c>
      <c r="F21" s="15">
        <v>3</v>
      </c>
      <c r="G21" s="15" t="s">
        <v>117</v>
      </c>
      <c r="H21" s="1" t="s">
        <v>137</v>
      </c>
      <c r="I21" s="4"/>
    </row>
    <row r="22" spans="4:12" x14ac:dyDescent="0.45">
      <c r="D22" s="15" t="s">
        <v>92</v>
      </c>
      <c r="E22" s="15">
        <v>1</v>
      </c>
      <c r="F22" s="15">
        <v>1</v>
      </c>
      <c r="G22" s="15" t="s">
        <v>118</v>
      </c>
      <c r="H22" s="1" t="s">
        <v>137</v>
      </c>
      <c r="I22" s="4"/>
    </row>
    <row r="23" spans="4:12" x14ac:dyDescent="0.45">
      <c r="D23" s="20" t="s">
        <v>12</v>
      </c>
      <c r="E23" s="20">
        <v>15</v>
      </c>
      <c r="F23" s="20">
        <v>20</v>
      </c>
      <c r="G23" s="15"/>
      <c r="H23" s="1"/>
      <c r="I23" s="4"/>
    </row>
    <row r="24" spans="4:12" x14ac:dyDescent="0.45">
      <c r="D24" s="15" t="s">
        <v>93</v>
      </c>
      <c r="E24" s="15">
        <v>3</v>
      </c>
      <c r="F24" s="15">
        <v>5</v>
      </c>
      <c r="G24" s="15" t="s">
        <v>94</v>
      </c>
      <c r="H24" s="1" t="s">
        <v>136</v>
      </c>
      <c r="I24" s="4"/>
    </row>
    <row r="25" spans="4:12" ht="28.5" x14ac:dyDescent="0.45">
      <c r="D25" s="15" t="s">
        <v>53</v>
      </c>
      <c r="E25" s="15">
        <v>3</v>
      </c>
      <c r="F25" s="15">
        <v>5</v>
      </c>
      <c r="G25" s="22" t="s">
        <v>122</v>
      </c>
      <c r="H25" s="1" t="s">
        <v>138</v>
      </c>
      <c r="I25" s="4"/>
    </row>
    <row r="26" spans="4:12" ht="85.5" x14ac:dyDescent="0.45">
      <c r="D26" s="15" t="s">
        <v>95</v>
      </c>
      <c r="E26" s="15">
        <v>3</v>
      </c>
      <c r="F26" s="15">
        <v>4</v>
      </c>
      <c r="G26" s="15" t="s">
        <v>120</v>
      </c>
      <c r="H26" s="1" t="s">
        <v>138</v>
      </c>
      <c r="I26" s="4"/>
    </row>
    <row r="27" spans="4:12" ht="42.75" x14ac:dyDescent="0.45">
      <c r="D27" s="15" t="s">
        <v>16</v>
      </c>
      <c r="E27" s="15">
        <v>3</v>
      </c>
      <c r="F27" s="15">
        <v>3</v>
      </c>
      <c r="G27" s="15" t="s">
        <v>121</v>
      </c>
      <c r="H27" s="1"/>
      <c r="I27" s="4"/>
    </row>
    <row r="28" spans="4:12" x14ac:dyDescent="0.45">
      <c r="D28" s="15" t="s">
        <v>119</v>
      </c>
      <c r="E28" s="15">
        <v>3</v>
      </c>
      <c r="F28" s="15">
        <v>3</v>
      </c>
      <c r="G28" s="15" t="s">
        <v>123</v>
      </c>
      <c r="H28" s="4" t="s">
        <v>138</v>
      </c>
      <c r="I28" s="4"/>
      <c r="J28" s="1" t="s">
        <v>124</v>
      </c>
      <c r="L28" s="1"/>
    </row>
    <row r="29" spans="4:12" x14ac:dyDescent="0.45">
      <c r="D29" s="20" t="s">
        <v>96</v>
      </c>
      <c r="E29" s="20">
        <v>10</v>
      </c>
      <c r="F29" s="20">
        <v>10</v>
      </c>
      <c r="G29" s="15"/>
      <c r="H29" s="1"/>
      <c r="I29" s="4"/>
    </row>
    <row r="30" spans="4:12" ht="28.5" x14ac:dyDescent="0.45">
      <c r="D30" s="15" t="s">
        <v>97</v>
      </c>
      <c r="E30" s="15">
        <v>3</v>
      </c>
      <c r="F30" s="15">
        <v>3</v>
      </c>
      <c r="G30" s="15" t="s">
        <v>125</v>
      </c>
      <c r="H30" s="4" t="s">
        <v>139</v>
      </c>
      <c r="I30" s="4"/>
    </row>
    <row r="31" spans="4:12" ht="28.5" x14ac:dyDescent="0.45">
      <c r="D31" s="15" t="s">
        <v>98</v>
      </c>
      <c r="E31" s="15">
        <v>3</v>
      </c>
      <c r="F31" s="15">
        <v>3</v>
      </c>
      <c r="G31" s="15" t="s">
        <v>126</v>
      </c>
      <c r="H31" s="1" t="s">
        <v>140</v>
      </c>
      <c r="I31" s="4"/>
    </row>
    <row r="32" spans="4:12" ht="28.5" x14ac:dyDescent="0.45">
      <c r="D32" s="15" t="s">
        <v>99</v>
      </c>
      <c r="E32" s="15">
        <v>4</v>
      </c>
      <c r="F32" s="15">
        <v>4</v>
      </c>
      <c r="G32" s="15" t="s">
        <v>126</v>
      </c>
      <c r="H32" s="1" t="s">
        <v>140</v>
      </c>
      <c r="I32" s="4"/>
    </row>
    <row r="33" spans="4:9" x14ac:dyDescent="0.45">
      <c r="D33" s="20" t="s">
        <v>100</v>
      </c>
      <c r="E33" s="20">
        <v>15</v>
      </c>
      <c r="F33" s="20">
        <v>15</v>
      </c>
      <c r="G33" s="15"/>
      <c r="H33" s="1"/>
      <c r="I33" s="4"/>
    </row>
    <row r="34" spans="4:9" ht="28.5" x14ac:dyDescent="0.45">
      <c r="D34" s="15" t="s">
        <v>101</v>
      </c>
      <c r="E34" s="15"/>
      <c r="F34" s="15"/>
      <c r="G34" s="15" t="s">
        <v>129</v>
      </c>
      <c r="H34" s="1" t="s">
        <v>141</v>
      </c>
      <c r="I34" s="4"/>
    </row>
    <row r="35" spans="4:9" ht="42.75" x14ac:dyDescent="0.45">
      <c r="D35" s="16" t="s">
        <v>127</v>
      </c>
      <c r="E35" s="15">
        <v>4</v>
      </c>
      <c r="F35" s="15">
        <v>4</v>
      </c>
      <c r="G35" s="15" t="s">
        <v>130</v>
      </c>
      <c r="H35" s="1" t="s">
        <v>141</v>
      </c>
      <c r="I35" s="4"/>
    </row>
    <row r="36" spans="4:9" ht="28.5" x14ac:dyDescent="0.45">
      <c r="D36" s="17" t="s">
        <v>128</v>
      </c>
      <c r="E36" s="1">
        <v>4</v>
      </c>
      <c r="F36" s="1">
        <v>4</v>
      </c>
      <c r="G36" s="18" t="s">
        <v>131</v>
      </c>
      <c r="H36" s="1" t="s">
        <v>141</v>
      </c>
      <c r="I36" s="4"/>
    </row>
    <row r="37" spans="4:9" x14ac:dyDescent="0.45">
      <c r="D37" s="15" t="s">
        <v>102</v>
      </c>
      <c r="E37" s="15">
        <v>3</v>
      </c>
      <c r="F37" s="15">
        <v>3</v>
      </c>
      <c r="G37" s="15" t="s">
        <v>132</v>
      </c>
      <c r="H37" s="1" t="s">
        <v>142</v>
      </c>
      <c r="I37" s="4"/>
    </row>
    <row r="38" spans="4:9" x14ac:dyDescent="0.45">
      <c r="D38" s="15" t="s">
        <v>103</v>
      </c>
      <c r="E38" s="15">
        <v>1</v>
      </c>
      <c r="F38" s="15">
        <v>2</v>
      </c>
      <c r="G38" s="15" t="s">
        <v>133</v>
      </c>
      <c r="H38" s="1" t="s">
        <v>143</v>
      </c>
      <c r="I38" s="4"/>
    </row>
    <row r="39" spans="4:9" x14ac:dyDescent="0.45">
      <c r="D39" s="15" t="s">
        <v>22</v>
      </c>
      <c r="E39" s="15">
        <v>2</v>
      </c>
      <c r="F39" s="15">
        <v>2</v>
      </c>
      <c r="G39" s="15" t="s">
        <v>134</v>
      </c>
      <c r="H39" s="1" t="s">
        <v>142</v>
      </c>
      <c r="I39" s="4"/>
    </row>
    <row r="40" spans="4:9" x14ac:dyDescent="0.45">
      <c r="D40" s="20" t="s">
        <v>104</v>
      </c>
      <c r="E40" s="20">
        <v>100</v>
      </c>
      <c r="F40" s="20">
        <v>100</v>
      </c>
      <c r="G40" s="15"/>
      <c r="H40" s="1"/>
      <c r="I40" s="1"/>
    </row>
  </sheetData>
  <mergeCells count="1">
    <mergeCell ref="D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F843DA-9355-4EC1-905C-E3F61F015E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kpi-kepala-cabang-samsat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mbah grandong</dc:creator>
  <cp:lastModifiedBy>mbah grandong</cp:lastModifiedBy>
  <dcterms:created xsi:type="dcterms:W3CDTF">2026-10-14T02:11:02Z</dcterms:created>
  <dcterms:modified xsi:type="dcterms:W3CDTF">2026-10-15T05:19:17Z</dcterms:modified>
</cp:coreProperties>
</file>